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cupii/Documents/Facultate/"/>
    </mc:Choice>
  </mc:AlternateContent>
  <xr:revisionPtr revIDLastSave="0" documentId="13_ncr:1_{F52626AB-0982-D84E-A4E5-D9709A4F8AD4}" xr6:coauthVersionLast="46" xr6:coauthVersionMax="46" xr10:uidLastSave="{00000000-0000-0000-0000-000000000000}"/>
  <bookViews>
    <workbookView xWindow="0" yWindow="460" windowWidth="35840" windowHeight="21940" xr2:uid="{9411411A-D349-D24A-82C3-6B08A35D9D85}"/>
  </bookViews>
  <sheets>
    <sheet name="Angajati" sheetId="1" r:id="rId1"/>
    <sheet name="Pivot Table" sheetId="4" r:id="rId2"/>
    <sheet name="Scenario Summary" sheetId="5" r:id="rId3"/>
    <sheet name="Sheet3" sheetId="6" r:id="rId4"/>
    <sheet name="Functii financiare" sheetId="2" r:id="rId5"/>
    <sheet name="Servicii Furnizori" sheetId="3" r:id="rId6"/>
  </sheets>
  <functionGroups builtInGroupCount="19"/>
  <definedNames>
    <definedName name="solver_adj" localSheetId="3" hidden="1">Sheet3!$D$3:$D$8,Sheet3!$B$3:$B$8</definedName>
    <definedName name="solver_cvg" localSheetId="3" hidden="1">"0.0001"</definedName>
    <definedName name="solver_drv" localSheetId="3" hidden="1">1</definedName>
    <definedName name="solver_eng" localSheetId="3" hidden="1">1</definedName>
    <definedName name="solver_itr" localSheetId="3" hidden="1">2147483647</definedName>
    <definedName name="solver_lhs1" localSheetId="3" hidden="1">Sheet3!$D$3:$D$8</definedName>
    <definedName name="solver_lhs2" localSheetId="3" hidden="1">Sheet3!$E$3:$E$8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"0.075"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opt" localSheetId="3" hidden="1">Sheet3!$E$9</definedName>
    <definedName name="solver_pre" localSheetId="3" hidden="1">"0.000001"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hs1" localSheetId="3" hidden="1">Sheet3!$J$4</definedName>
    <definedName name="solver_rhs2" localSheetId="3" hidden="1">Sheet3!$J$6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1</definedName>
    <definedName name="solver_typ" localSheetId="3" hidden="1">3</definedName>
    <definedName name="solver_val" localSheetId="3" hidden="1">72000</definedName>
    <definedName name="solver_ver" localSheetId="3" hidden="1">2</definedName>
  </definedNames>
  <calcPr calcId="191029"/>
  <pivotCaches>
    <pivotCache cacheId="7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E4" i="6"/>
  <c r="E5" i="6"/>
  <c r="E6" i="6"/>
  <c r="E7" i="6"/>
  <c r="E8" i="6"/>
  <c r="E3" i="6"/>
  <c r="H4" i="3"/>
  <c r="H5" i="3"/>
  <c r="H6" i="3"/>
  <c r="H7" i="3"/>
  <c r="H3" i="3"/>
  <c r="B4" i="2"/>
  <c r="H3" i="1"/>
  <c r="H4" i="1"/>
  <c r="H5" i="1"/>
  <c r="H6" i="1"/>
  <c r="H7" i="1"/>
  <c r="H8" i="1"/>
  <c r="H9" i="1"/>
  <c r="H10" i="1"/>
  <c r="H11" i="1"/>
  <c r="H12" i="1"/>
  <c r="H2" i="1"/>
  <c r="L2" i="1"/>
  <c r="I12" i="1" a="1"/>
  <c r="I5" i="1" a="1"/>
  <c r="I3" i="1" a="1"/>
  <c r="I9" i="1" a="1"/>
  <c r="I10" i="1" a="1"/>
  <c r="I11" i="1" a="1"/>
  <c r="I8" i="1" a="1"/>
  <c r="I4" i="1" a="1"/>
  <c r="I6" i="1" a="1"/>
  <c r="I7" i="1" a="1"/>
  <c r="I2" i="1" a="1"/>
  <c r="E9" i="6" l="1"/>
  <c r="I12" i="1"/>
  <c r="I5" i="1"/>
  <c r="I7" i="1"/>
  <c r="I6" i="1"/>
  <c r="I4" i="1"/>
  <c r="I8" i="1"/>
  <c r="I11" i="1"/>
  <c r="I10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<sst xmlns="http://schemas.openxmlformats.org/spreadsheetml/2006/main" count="146" uniqueCount="101">
  <si>
    <t>Nume</t>
  </si>
  <si>
    <t>Prenume</t>
  </si>
  <si>
    <t>Contract</t>
  </si>
  <si>
    <t>Functia</t>
  </si>
  <si>
    <t>Salariu</t>
  </si>
  <si>
    <t>Gen</t>
  </si>
  <si>
    <t>Vechime</t>
  </si>
  <si>
    <t>Salariu mediu femei</t>
  </si>
  <si>
    <t>Salariu mediu barbati</t>
  </si>
  <si>
    <t>Popescu</t>
  </si>
  <si>
    <t>Lucian</t>
  </si>
  <si>
    <t>Full time</t>
  </si>
  <si>
    <t>Director</t>
  </si>
  <si>
    <t>M</t>
  </si>
  <si>
    <t>Munteanu</t>
  </si>
  <si>
    <t>Titel</t>
  </si>
  <si>
    <t>Ionescu</t>
  </si>
  <si>
    <t>Andreea</t>
  </si>
  <si>
    <t>Part time</t>
  </si>
  <si>
    <t>F</t>
  </si>
  <si>
    <t xml:space="preserve">Cupii </t>
  </si>
  <si>
    <t>Cezin</t>
  </si>
  <si>
    <t>Senior Developer</t>
  </si>
  <si>
    <t>Developer</t>
  </si>
  <si>
    <t>Barbu</t>
  </si>
  <si>
    <t>Ioana</t>
  </si>
  <si>
    <t>Full Time</t>
  </si>
  <si>
    <t>HR Lead</t>
  </si>
  <si>
    <t>Trifan</t>
  </si>
  <si>
    <t>Mihaela</t>
  </si>
  <si>
    <t>Tech Lead</t>
  </si>
  <si>
    <t>Serban</t>
  </si>
  <si>
    <t>Amalia</t>
  </si>
  <si>
    <t>Intern</t>
  </si>
  <si>
    <t>Lazar</t>
  </si>
  <si>
    <t>Mihai</t>
  </si>
  <si>
    <t>Constantin</t>
  </si>
  <si>
    <t>Andrei</t>
  </si>
  <si>
    <t>Designer</t>
  </si>
  <si>
    <t>Octavian</t>
  </si>
  <si>
    <t>Mirela</t>
  </si>
  <si>
    <t>Numar angajati</t>
  </si>
  <si>
    <t>Tuca</t>
  </si>
  <si>
    <t>Secretar</t>
  </si>
  <si>
    <t>Spor</t>
  </si>
  <si>
    <t>Rata anuala a dobanzii</t>
  </si>
  <si>
    <t>Durata imprumutului</t>
  </si>
  <si>
    <t>Suma imprumutata</t>
  </si>
  <si>
    <t>Rata lunara</t>
  </si>
  <si>
    <t xml:space="preserve">Cod </t>
  </si>
  <si>
    <t>Denumire</t>
  </si>
  <si>
    <t>Pret</t>
  </si>
  <si>
    <t>Furnizori</t>
  </si>
  <si>
    <t>Cod</t>
  </si>
  <si>
    <t>Servicii</t>
  </si>
  <si>
    <t>Cod S</t>
  </si>
  <si>
    <t>Denumire S</t>
  </si>
  <si>
    <t>Servicii email</t>
  </si>
  <si>
    <t>Servicii livrare</t>
  </si>
  <si>
    <t>Servicii server</t>
  </si>
  <si>
    <t>Servicii medicale</t>
  </si>
  <si>
    <t>Google</t>
  </si>
  <si>
    <t>Microsoft</t>
  </si>
  <si>
    <t>Fan Courier</t>
  </si>
  <si>
    <t>Amazon</t>
  </si>
  <si>
    <t>Medicover</t>
  </si>
  <si>
    <t>Servicii cloud</t>
  </si>
  <si>
    <t>Experienta</t>
  </si>
  <si>
    <t>Row Labels</t>
  </si>
  <si>
    <t>Grand Total</t>
  </si>
  <si>
    <t>Sum of Salariu</t>
  </si>
  <si>
    <t>Middle</t>
  </si>
  <si>
    <t>$B$1</t>
  </si>
  <si>
    <t>$B$4</t>
  </si>
  <si>
    <t>Rata marita</t>
  </si>
  <si>
    <t>Created by Microsoft Office User on 29/03/2021</t>
  </si>
  <si>
    <t>Scenario Summary</t>
  </si>
  <si>
    <t>Changing Cells:</t>
  </si>
  <si>
    <t>Current Values:</t>
  </si>
  <si>
    <t>Result Cells:</t>
  </si>
  <si>
    <t>Notes: Current Values column represents values of changing cells at</t>
  </si>
  <si>
    <t>time Scenario Summary Report was created.  Changing cells for each</t>
  </si>
  <si>
    <t>scenario are highlighted in grey.</t>
  </si>
  <si>
    <t>Nume Proiect</t>
  </si>
  <si>
    <t>Cost Productie</t>
  </si>
  <si>
    <t>Cost Fix</t>
  </si>
  <si>
    <t>Cost suplimentar</t>
  </si>
  <si>
    <t>Cost total</t>
  </si>
  <si>
    <t>Schimbare server</t>
  </si>
  <si>
    <t>Marire sediu</t>
  </si>
  <si>
    <t>Teambuliding</t>
  </si>
  <si>
    <t>Campionat Fotbal</t>
  </si>
  <si>
    <t>Campionat Volei</t>
  </si>
  <si>
    <t>Schimbare periferice</t>
  </si>
  <si>
    <t>Cost Total</t>
  </si>
  <si>
    <t>Constrangeri</t>
  </si>
  <si>
    <t>Costuri suplimentare maxime</t>
  </si>
  <si>
    <t>Costuri fixe maxime</t>
  </si>
  <si>
    <t>Costuri totale maxime</t>
  </si>
  <si>
    <t>Buget maxim</t>
  </si>
  <si>
    <t>Suma salariu developeri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</si>
</sst>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USD]"/>
    <numFmt numFmtId="165" formatCode="#,##0.00\ [$USD]_);[Red]\(#,##0.00\ [$USD]\)"/>
  </numFmts>
  <fonts count="6" x14ac:knownFonts="1">
    <font>
      <sz val="12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 applyBorder="1" applyAlignment="1"/>
    <xf numFmtId="9" fontId="0" fillId="0" borderId="0" xfId="0" applyNumberFormat="1" applyFill="1" applyBorder="1" applyAlignment="1"/>
    <xf numFmtId="165" fontId="0" fillId="0" borderId="2" xfId="0" applyNumberFormat="1" applyFill="1" applyBorder="1" applyAlignment="1"/>
    <xf numFmtId="0" fontId="1" fillId="2" borderId="3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4" xfId="0" applyFill="1" applyBorder="1" applyAlignment="1"/>
    <xf numFmtId="0" fontId="2" fillId="3" borderId="0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right"/>
    </xf>
    <xf numFmtId="9" fontId="0" fillId="4" borderId="0" xfId="0" applyNumberFormat="1" applyFill="1" applyBorder="1" applyAlignment="1"/>
    <xf numFmtId="0" fontId="5" fillId="0" borderId="0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84.047660069446" createdVersion="7" refreshedVersion="7" minRefreshableVersion="3" recordCount="11" xr:uid="{53B5737A-B41E-C941-9EBC-799321FE20E5}">
  <cacheSource type="worksheet">
    <worksheetSource ref="A1:I12" sheet="Angajati"/>
  </cacheSource>
  <cacheFields count="9">
    <cacheField name="Nume" numFmtId="0">
      <sharedItems count="11">
        <s v="Popescu"/>
        <s v="Munteanu"/>
        <s v="Ionescu"/>
        <s v="Cupii "/>
        <s v="Barbu"/>
        <s v="Trifan"/>
        <s v="Serban"/>
        <s v="Lazar"/>
        <s v="Constantin"/>
        <s v="Octavian"/>
        <s v="Tuca"/>
      </sharedItems>
    </cacheField>
    <cacheField name="Prenume" numFmtId="0">
      <sharedItems count="10">
        <s v="Lucian"/>
        <s v="Titel"/>
        <s v="Andreea"/>
        <s v="Cezin"/>
        <s v="Ioana"/>
        <s v="Mihaela"/>
        <s v="Amalia"/>
        <s v="Mihai"/>
        <s v="Andrei"/>
        <s v="Mirela"/>
      </sharedItems>
    </cacheField>
    <cacheField name="Contract" numFmtId="0">
      <sharedItems/>
    </cacheField>
    <cacheField name="Functia" numFmtId="0">
      <sharedItems/>
    </cacheField>
    <cacheField name="Salariu" numFmtId="0">
      <sharedItems containsSemiMixedTypes="0" containsString="0" containsNumber="1" containsInteger="1" minValue="1500" maxValue="20000" count="10">
        <n v="20000"/>
        <n v="9500"/>
        <n v="4500"/>
        <n v="8000"/>
        <n v="5000"/>
        <n v="11000"/>
        <n v="1500"/>
        <n v="6500"/>
        <n v="9800"/>
        <n v="7000"/>
      </sharedItems>
    </cacheField>
    <cacheField name="Gen" numFmtId="0">
      <sharedItems/>
    </cacheField>
    <cacheField name="Vechime" numFmtId="0">
      <sharedItems containsSemiMixedTypes="0" containsString="0" containsNumber="1" containsInteger="1" minValue="0" maxValue="6"/>
    </cacheField>
    <cacheField name="Spor" numFmtId="0">
      <sharedItems containsSemiMixedTypes="0" containsString="0" containsNumber="1" containsInteger="1" minValue="0" maxValue="4000"/>
    </cacheField>
    <cacheField name="Experienta" numFmtId="0">
      <sharedItems count="2">
        <s v="Middle"/>
        <s v="Juni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s v="Full time"/>
    <s v="Director"/>
    <x v="0"/>
    <s v="M"/>
    <n v="5"/>
    <n v="4000"/>
    <x v="0"/>
  </r>
  <r>
    <x v="1"/>
    <x v="1"/>
    <s v="Full time"/>
    <s v="Developer"/>
    <x v="1"/>
    <s v="M"/>
    <n v="3"/>
    <n v="1425"/>
    <x v="0"/>
  </r>
  <r>
    <x v="2"/>
    <x v="2"/>
    <s v="Part time"/>
    <s v="Secretar"/>
    <x v="2"/>
    <s v="F"/>
    <n v="2"/>
    <n v="675"/>
    <x v="0"/>
  </r>
  <r>
    <x v="3"/>
    <x v="3"/>
    <s v="Full time"/>
    <s v="Developer"/>
    <x v="3"/>
    <s v="M"/>
    <n v="1"/>
    <n v="1200"/>
    <x v="1"/>
  </r>
  <r>
    <x v="4"/>
    <x v="4"/>
    <s v="Full time"/>
    <s v="HR Lead"/>
    <x v="4"/>
    <s v="F"/>
    <n v="6"/>
    <n v="1000"/>
    <x v="0"/>
  </r>
  <r>
    <x v="5"/>
    <x v="5"/>
    <s v="Full time"/>
    <s v="Tech Lead"/>
    <x v="5"/>
    <s v="F"/>
    <n v="5"/>
    <n v="2200"/>
    <x v="0"/>
  </r>
  <r>
    <x v="6"/>
    <x v="6"/>
    <s v="Part time"/>
    <s v="Intern"/>
    <x v="6"/>
    <s v="F"/>
    <n v="0"/>
    <n v="0"/>
    <x v="1"/>
  </r>
  <r>
    <x v="7"/>
    <x v="7"/>
    <s v="Part time"/>
    <s v="Intern"/>
    <x v="6"/>
    <s v="M"/>
    <n v="0"/>
    <n v="0"/>
    <x v="1"/>
  </r>
  <r>
    <x v="8"/>
    <x v="8"/>
    <s v="Full time"/>
    <s v="Designer"/>
    <x v="7"/>
    <s v="M"/>
    <n v="3"/>
    <n v="975"/>
    <x v="0"/>
  </r>
  <r>
    <x v="9"/>
    <x v="9"/>
    <s v="Full time"/>
    <s v="Developer"/>
    <x v="8"/>
    <s v="F"/>
    <n v="4"/>
    <n v="1470"/>
    <x v="0"/>
  </r>
  <r>
    <x v="10"/>
    <x v="7"/>
    <s v="Full time"/>
    <s v="Developer"/>
    <x v="9"/>
    <s v="M"/>
    <n v="1"/>
    <n v="10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1B266-7CF6-7E46-9CC0-D6026030E1C1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8" firstHeaderRow="1" firstDataRow="1" firstDataCol="1" rowPageCount="1" colPageCount="1"/>
  <pivotFields count="9">
    <pivotField axis="axisRow" showAll="0">
      <items count="12">
        <item x="4"/>
        <item x="8"/>
        <item x="3"/>
        <item x="2"/>
        <item x="7"/>
        <item x="1"/>
        <item x="9"/>
        <item x="0"/>
        <item x="6"/>
        <item x="5"/>
        <item x="10"/>
        <item t="default"/>
      </items>
    </pivotField>
    <pivotField axis="axisRow" showAll="0">
      <items count="11">
        <item x="6"/>
        <item x="2"/>
        <item x="8"/>
        <item x="3"/>
        <item x="4"/>
        <item x="0"/>
        <item x="5"/>
        <item x="7"/>
        <item x="9"/>
        <item x="1"/>
        <item t="default"/>
      </items>
    </pivotField>
    <pivotField showAll="0"/>
    <pivotField showAll="0"/>
    <pivotField dataField="1" showAll="0">
      <items count="11">
        <item x="6"/>
        <item x="2"/>
        <item x="4"/>
        <item x="7"/>
        <item x="9"/>
        <item x="3"/>
        <item x="1"/>
        <item x="8"/>
        <item x="5"/>
        <item x="0"/>
        <item t="default"/>
      </items>
    </pivotField>
    <pivotField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</pivotFields>
  <rowFields count="2">
    <field x="0"/>
    <field x="1"/>
  </rowFields>
  <rowItems count="15">
    <i>
      <x/>
    </i>
    <i r="1">
      <x v="4"/>
    </i>
    <i>
      <x v="1"/>
    </i>
    <i r="1">
      <x v="2"/>
    </i>
    <i>
      <x v="3"/>
    </i>
    <i r="1">
      <x v="1"/>
    </i>
    <i>
      <x v="5"/>
    </i>
    <i r="1">
      <x v="9"/>
    </i>
    <i>
      <x v="6"/>
    </i>
    <i r="1">
      <x v="8"/>
    </i>
    <i>
      <x v="7"/>
    </i>
    <i r="1">
      <x v="5"/>
    </i>
    <i>
      <x v="9"/>
    </i>
    <i r="1">
      <x v="6"/>
    </i>
    <i t="grand">
      <x/>
    </i>
  </rowItems>
  <colItems count="1">
    <i/>
  </colItems>
  <pageFields count="1">
    <pageField fld="8" hier="-1"/>
  </pageFields>
  <dataFields count="1">
    <dataField name="Sum of Salariu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DF95-3036-F840-84E1-F2C7C76E6745}">
  <sheetPr codeName="Sheet1"/>
  <dimension ref="A1:N22"/>
  <sheetViews>
    <sheetView tabSelected="1" workbookViewId="0">
      <selection activeCell="F18" sqref="F18"/>
    </sheetView>
  </sheetViews>
  <sheetFormatPr baseColWidth="10" defaultRowHeight="16" x14ac:dyDescent="0.2"/>
  <cols>
    <col min="1" max="1" width="15" bestFit="1" customWidth="1"/>
    <col min="2" max="2" width="14" bestFit="1" customWidth="1"/>
    <col min="4" max="4" width="15" bestFit="1" customWidth="1"/>
    <col min="11" max="11" width="19" bestFit="1" customWidth="1"/>
    <col min="14" max="14" width="21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44</v>
      </c>
      <c r="I1" t="s">
        <v>67</v>
      </c>
    </row>
    <row r="2" spans="1:14" x14ac:dyDescent="0.2">
      <c r="A2" t="s">
        <v>9</v>
      </c>
      <c r="B2" t="s">
        <v>10</v>
      </c>
      <c r="C2" t="s">
        <v>11</v>
      </c>
      <c r="D2" t="s">
        <v>12</v>
      </c>
      <c r="E2">
        <v>20000</v>
      </c>
      <c r="F2" t="s">
        <v>13</v>
      </c>
      <c r="G2">
        <v>7</v>
      </c>
      <c r="H2">
        <f>(IF(G2&lt;1,0,IF(G2&lt;5,E2*15%,IF(G2&lt;8,E2*20%))))</f>
        <v>4000</v>
      </c>
      <c r="I2" t="str" cm="1">
        <f t="array" ref="I2">get_experience(G2)</f>
        <v>Senior</v>
      </c>
      <c r="K2" t="s">
        <v>8</v>
      </c>
      <c r="L2">
        <f>AVERAGEIF(F2:F12,"=M",E2:E12)</f>
        <v>8750</v>
      </c>
      <c r="N2" t="s">
        <v>100</v>
      </c>
    </row>
    <row r="3" spans="1:14" x14ac:dyDescent="0.2">
      <c r="A3" t="s">
        <v>14</v>
      </c>
      <c r="B3" t="s">
        <v>15</v>
      </c>
      <c r="C3" t="s">
        <v>11</v>
      </c>
      <c r="D3" t="s">
        <v>23</v>
      </c>
      <c r="E3">
        <v>9500</v>
      </c>
      <c r="F3" t="s">
        <v>13</v>
      </c>
      <c r="G3">
        <v>3</v>
      </c>
      <c r="H3">
        <f t="shared" ref="H3:H12" si="0">(IF(G3&lt;1,0,IF(G3&lt;5,E3*15%,IF(G3&lt;8,E3*20%))))</f>
        <v>1425</v>
      </c>
      <c r="I3" t="str" cm="1">
        <f t="array" ref="I3">get_experience(G3)</f>
        <v>Middle</v>
      </c>
      <c r="K3" t="s">
        <v>7</v>
      </c>
      <c r="L3">
        <f>AVERAGEIF(F2:F11,"=F",E2:E12)</f>
        <v>6360</v>
      </c>
    </row>
    <row r="4" spans="1:14" x14ac:dyDescent="0.2">
      <c r="A4" t="s">
        <v>16</v>
      </c>
      <c r="B4" t="s">
        <v>17</v>
      </c>
      <c r="C4" t="s">
        <v>18</v>
      </c>
      <c r="D4" t="s">
        <v>43</v>
      </c>
      <c r="E4">
        <v>4500</v>
      </c>
      <c r="F4" t="s">
        <v>19</v>
      </c>
      <c r="G4">
        <v>2</v>
      </c>
      <c r="H4">
        <f t="shared" si="0"/>
        <v>675</v>
      </c>
      <c r="I4" t="str" cm="1">
        <f t="array" ref="I4">get_experience(G4)</f>
        <v>Middle</v>
      </c>
    </row>
    <row r="5" spans="1:14" x14ac:dyDescent="0.2">
      <c r="A5" t="s">
        <v>20</v>
      </c>
      <c r="B5" t="s">
        <v>21</v>
      </c>
      <c r="C5" t="s">
        <v>11</v>
      </c>
      <c r="D5" t="s">
        <v>23</v>
      </c>
      <c r="E5">
        <v>8000</v>
      </c>
      <c r="F5" t="s">
        <v>13</v>
      </c>
      <c r="G5">
        <v>1</v>
      </c>
      <c r="H5">
        <f t="shared" si="0"/>
        <v>1200</v>
      </c>
      <c r="I5" t="str" cm="1">
        <f t="array" ref="I5">get_experience(G5)</f>
        <v>Junior</v>
      </c>
    </row>
    <row r="6" spans="1:14" x14ac:dyDescent="0.2">
      <c r="A6" t="s">
        <v>24</v>
      </c>
      <c r="B6" t="s">
        <v>25</v>
      </c>
      <c r="C6" t="s">
        <v>26</v>
      </c>
      <c r="D6" t="s">
        <v>27</v>
      </c>
      <c r="E6">
        <v>5000</v>
      </c>
      <c r="F6" t="s">
        <v>19</v>
      </c>
      <c r="G6">
        <v>6</v>
      </c>
      <c r="H6">
        <f t="shared" si="0"/>
        <v>1000</v>
      </c>
      <c r="I6" t="str" cm="1">
        <f t="array" ref="I6">get_experience(G6)</f>
        <v>Middle</v>
      </c>
    </row>
    <row r="7" spans="1:14" x14ac:dyDescent="0.2">
      <c r="A7" t="s">
        <v>28</v>
      </c>
      <c r="B7" t="s">
        <v>29</v>
      </c>
      <c r="C7" t="s">
        <v>11</v>
      </c>
      <c r="D7" t="s">
        <v>30</v>
      </c>
      <c r="E7">
        <v>11000</v>
      </c>
      <c r="F7" t="s">
        <v>19</v>
      </c>
      <c r="G7">
        <v>5</v>
      </c>
      <c r="H7">
        <f t="shared" si="0"/>
        <v>2200</v>
      </c>
      <c r="I7" t="str" cm="1">
        <f t="array" ref="I7">get_experience(G7)</f>
        <v>Middle</v>
      </c>
    </row>
    <row r="8" spans="1:14" x14ac:dyDescent="0.2">
      <c r="A8" t="s">
        <v>31</v>
      </c>
      <c r="B8" t="s">
        <v>32</v>
      </c>
      <c r="C8" t="s">
        <v>18</v>
      </c>
      <c r="D8" t="s">
        <v>33</v>
      </c>
      <c r="E8">
        <v>1500</v>
      </c>
      <c r="F8" t="s">
        <v>19</v>
      </c>
      <c r="G8">
        <v>0</v>
      </c>
      <c r="H8">
        <f t="shared" si="0"/>
        <v>0</v>
      </c>
      <c r="I8" t="str" cm="1">
        <f t="array" ref="I8">get_experience(G8)</f>
        <v>Junior</v>
      </c>
    </row>
    <row r="9" spans="1:14" x14ac:dyDescent="0.2">
      <c r="A9" t="s">
        <v>34</v>
      </c>
      <c r="B9" t="s">
        <v>35</v>
      </c>
      <c r="C9" t="s">
        <v>18</v>
      </c>
      <c r="D9" t="s">
        <v>33</v>
      </c>
      <c r="E9">
        <v>1500</v>
      </c>
      <c r="F9" t="s">
        <v>13</v>
      </c>
      <c r="G9">
        <v>0</v>
      </c>
      <c r="H9">
        <f t="shared" si="0"/>
        <v>0</v>
      </c>
      <c r="I9" t="str" cm="1">
        <f t="array" ref="I9">get_experience(G9)</f>
        <v>Junior</v>
      </c>
    </row>
    <row r="10" spans="1:14" x14ac:dyDescent="0.2">
      <c r="A10" t="s">
        <v>36</v>
      </c>
      <c r="B10" t="s">
        <v>37</v>
      </c>
      <c r="C10" t="s">
        <v>11</v>
      </c>
      <c r="D10" t="s">
        <v>38</v>
      </c>
      <c r="E10">
        <v>6500</v>
      </c>
      <c r="F10" t="s">
        <v>13</v>
      </c>
      <c r="G10">
        <v>3</v>
      </c>
      <c r="H10">
        <f t="shared" si="0"/>
        <v>975</v>
      </c>
      <c r="I10" t="str" cm="1">
        <f t="array" ref="I10">get_experience(G10)</f>
        <v>Middle</v>
      </c>
    </row>
    <row r="11" spans="1:14" x14ac:dyDescent="0.2">
      <c r="A11" t="s">
        <v>39</v>
      </c>
      <c r="B11" t="s">
        <v>40</v>
      </c>
      <c r="C11" t="s">
        <v>11</v>
      </c>
      <c r="D11" t="s">
        <v>23</v>
      </c>
      <c r="E11">
        <v>9800</v>
      </c>
      <c r="F11" t="s">
        <v>19</v>
      </c>
      <c r="G11">
        <v>4</v>
      </c>
      <c r="H11">
        <f t="shared" si="0"/>
        <v>1470</v>
      </c>
      <c r="I11" t="str" cm="1">
        <f t="array" ref="I11">get_experience(G11)</f>
        <v>Middle</v>
      </c>
    </row>
    <row r="12" spans="1:14" x14ac:dyDescent="0.2">
      <c r="A12" t="s">
        <v>42</v>
      </c>
      <c r="B12" t="s">
        <v>35</v>
      </c>
      <c r="C12" t="s">
        <v>11</v>
      </c>
      <c r="D12" t="s">
        <v>23</v>
      </c>
      <c r="E12">
        <v>7000</v>
      </c>
      <c r="F12" t="s">
        <v>13</v>
      </c>
      <c r="G12">
        <v>1</v>
      </c>
      <c r="H12">
        <f t="shared" si="0"/>
        <v>1050</v>
      </c>
      <c r="I12" t="str" cm="1">
        <f t="array" ref="I12">get_experience(G12)</f>
        <v>Junior</v>
      </c>
    </row>
    <row r="15" spans="1:14" x14ac:dyDescent="0.2">
      <c r="A15" t="s">
        <v>3</v>
      </c>
      <c r="B15" t="s">
        <v>41</v>
      </c>
    </row>
    <row r="16" spans="1:14" x14ac:dyDescent="0.2">
      <c r="A16" t="s">
        <v>12</v>
      </c>
    </row>
    <row r="17" spans="1:1" x14ac:dyDescent="0.2">
      <c r="A17" t="s">
        <v>22</v>
      </c>
    </row>
    <row r="18" spans="1:1" x14ac:dyDescent="0.2">
      <c r="A18" t="s">
        <v>43</v>
      </c>
    </row>
    <row r="19" spans="1:1" x14ac:dyDescent="0.2">
      <c r="A19" t="s">
        <v>27</v>
      </c>
    </row>
    <row r="20" spans="1:1" x14ac:dyDescent="0.2">
      <c r="A20" t="s">
        <v>30</v>
      </c>
    </row>
    <row r="21" spans="1:1" x14ac:dyDescent="0.2">
      <c r="A21" t="s">
        <v>33</v>
      </c>
    </row>
    <row r="22" spans="1:1" x14ac:dyDescent="0.2">
      <c r="A22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2680A-5E60-A44D-A104-581EE8E9CBDC}">
  <dimension ref="A1:B18"/>
  <sheetViews>
    <sheetView workbookViewId="0">
      <selection activeCell="A4" sqref="A4"/>
    </sheetView>
  </sheetViews>
  <sheetFormatPr baseColWidth="10" defaultRowHeight="16" x14ac:dyDescent="0.2"/>
  <cols>
    <col min="1" max="1" width="13" bestFit="1" customWidth="1"/>
    <col min="2" max="2" width="13.1640625" bestFit="1" customWidth="1"/>
  </cols>
  <sheetData>
    <row r="1" spans="1:2" x14ac:dyDescent="0.2">
      <c r="A1" s="5" t="s">
        <v>67</v>
      </c>
      <c r="B1" t="s">
        <v>71</v>
      </c>
    </row>
    <row r="3" spans="1:2" x14ac:dyDescent="0.2">
      <c r="A3" s="5" t="s">
        <v>68</v>
      </c>
      <c r="B3" t="s">
        <v>70</v>
      </c>
    </row>
    <row r="4" spans="1:2" x14ac:dyDescent="0.2">
      <c r="A4" s="6" t="s">
        <v>24</v>
      </c>
      <c r="B4" s="4">
        <v>5000</v>
      </c>
    </row>
    <row r="5" spans="1:2" x14ac:dyDescent="0.2">
      <c r="A5" s="7" t="s">
        <v>25</v>
      </c>
      <c r="B5" s="4">
        <v>5000</v>
      </c>
    </row>
    <row r="6" spans="1:2" x14ac:dyDescent="0.2">
      <c r="A6" s="6" t="s">
        <v>36</v>
      </c>
      <c r="B6" s="4">
        <v>6500</v>
      </c>
    </row>
    <row r="7" spans="1:2" x14ac:dyDescent="0.2">
      <c r="A7" s="7" t="s">
        <v>37</v>
      </c>
      <c r="B7" s="4">
        <v>6500</v>
      </c>
    </row>
    <row r="8" spans="1:2" x14ac:dyDescent="0.2">
      <c r="A8" s="6" t="s">
        <v>16</v>
      </c>
      <c r="B8" s="4">
        <v>4500</v>
      </c>
    </row>
    <row r="9" spans="1:2" x14ac:dyDescent="0.2">
      <c r="A9" s="7" t="s">
        <v>17</v>
      </c>
      <c r="B9" s="4">
        <v>4500</v>
      </c>
    </row>
    <row r="10" spans="1:2" x14ac:dyDescent="0.2">
      <c r="A10" s="6" t="s">
        <v>14</v>
      </c>
      <c r="B10" s="4">
        <v>9500</v>
      </c>
    </row>
    <row r="11" spans="1:2" x14ac:dyDescent="0.2">
      <c r="A11" s="7" t="s">
        <v>15</v>
      </c>
      <c r="B11" s="4">
        <v>9500</v>
      </c>
    </row>
    <row r="12" spans="1:2" x14ac:dyDescent="0.2">
      <c r="A12" s="6" t="s">
        <v>39</v>
      </c>
      <c r="B12" s="4">
        <v>9800</v>
      </c>
    </row>
    <row r="13" spans="1:2" x14ac:dyDescent="0.2">
      <c r="A13" s="7" t="s">
        <v>40</v>
      </c>
      <c r="B13" s="4">
        <v>9800</v>
      </c>
    </row>
    <row r="14" spans="1:2" x14ac:dyDescent="0.2">
      <c r="A14" s="6" t="s">
        <v>9</v>
      </c>
      <c r="B14" s="4">
        <v>20000</v>
      </c>
    </row>
    <row r="15" spans="1:2" x14ac:dyDescent="0.2">
      <c r="A15" s="7" t="s">
        <v>10</v>
      </c>
      <c r="B15" s="4">
        <v>20000</v>
      </c>
    </row>
    <row r="16" spans="1:2" x14ac:dyDescent="0.2">
      <c r="A16" s="6" t="s">
        <v>28</v>
      </c>
      <c r="B16" s="4">
        <v>11000</v>
      </c>
    </row>
    <row r="17" spans="1:2" x14ac:dyDescent="0.2">
      <c r="A17" s="7" t="s">
        <v>29</v>
      </c>
      <c r="B17" s="4">
        <v>11000</v>
      </c>
    </row>
    <row r="18" spans="1:2" x14ac:dyDescent="0.2">
      <c r="A18" s="6" t="s">
        <v>69</v>
      </c>
      <c r="B18" s="4">
        <v>66300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0F02-06C8-1B4B-9C39-5C027945AA01}">
  <sheetPr>
    <outlinePr summaryBelow="0"/>
  </sheetPr>
  <dimension ref="B1:E11"/>
  <sheetViews>
    <sheetView showGridLines="0" workbookViewId="0"/>
  </sheetViews>
  <sheetFormatPr baseColWidth="10" defaultRowHeight="16" outlineLevelRow="1" outlineLevelCol="1" x14ac:dyDescent="0.2"/>
  <cols>
    <col min="3" max="3" width="5.33203125" bestFit="1" customWidth="1"/>
    <col min="4" max="5" width="13.5" bestFit="1" customWidth="1" outlineLevel="1"/>
  </cols>
  <sheetData>
    <row r="1" spans="2:5" ht="17" thickBot="1" x14ac:dyDescent="0.25"/>
    <row r="2" spans="2:5" ht="19" x14ac:dyDescent="0.25">
      <c r="B2" s="12" t="s">
        <v>76</v>
      </c>
      <c r="C2" s="12"/>
      <c r="D2" s="17"/>
      <c r="E2" s="17"/>
    </row>
    <row r="3" spans="2:5" ht="19" collapsed="1" x14ac:dyDescent="0.25">
      <c r="B3" s="11"/>
      <c r="C3" s="11"/>
      <c r="D3" s="18" t="s">
        <v>78</v>
      </c>
      <c r="E3" s="18" t="s">
        <v>74</v>
      </c>
    </row>
    <row r="4" spans="2:5" ht="36" hidden="1" outlineLevel="1" x14ac:dyDescent="0.2">
      <c r="B4" s="14"/>
      <c r="C4" s="14"/>
      <c r="D4" s="8"/>
      <c r="E4" s="20" t="s">
        <v>75</v>
      </c>
    </row>
    <row r="5" spans="2:5" x14ac:dyDescent="0.2">
      <c r="B5" s="15" t="s">
        <v>77</v>
      </c>
      <c r="C5" s="15"/>
      <c r="D5" s="13"/>
      <c r="E5" s="13"/>
    </row>
    <row r="6" spans="2:5" outlineLevel="1" x14ac:dyDescent="0.2">
      <c r="B6" s="14"/>
      <c r="C6" s="14" t="s">
        <v>72</v>
      </c>
      <c r="D6" s="9">
        <v>0.05</v>
      </c>
      <c r="E6" s="19">
        <v>0.08</v>
      </c>
    </row>
    <row r="7" spans="2:5" x14ac:dyDescent="0.2">
      <c r="B7" s="15" t="s">
        <v>79</v>
      </c>
      <c r="C7" s="15"/>
      <c r="D7" s="13"/>
      <c r="E7" s="13"/>
    </row>
    <row r="8" spans="2:5" ht="17" outlineLevel="1" thickBot="1" x14ac:dyDescent="0.25">
      <c r="B8" s="16"/>
      <c r="C8" s="16" t="s">
        <v>73</v>
      </c>
      <c r="D8" s="10">
        <v>-8000</v>
      </c>
      <c r="E8" s="10">
        <v>-8595.6836403638899</v>
      </c>
    </row>
    <row r="9" spans="2:5" x14ac:dyDescent="0.2">
      <c r="B9" t="s">
        <v>80</v>
      </c>
    </row>
    <row r="10" spans="2:5" x14ac:dyDescent="0.2">
      <c r="B10" t="s">
        <v>81</v>
      </c>
    </row>
    <row r="11" spans="2:5" x14ac:dyDescent="0.2">
      <c r="B11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2A89F-025E-7C47-921E-0C05DBACDDB6}">
  <dimension ref="A1:J9"/>
  <sheetViews>
    <sheetView workbookViewId="0">
      <selection activeCell="E9" sqref="E9"/>
    </sheetView>
  </sheetViews>
  <sheetFormatPr baseColWidth="10" defaultRowHeight="16" x14ac:dyDescent="0.2"/>
  <cols>
    <col min="1" max="1" width="18.33203125" bestFit="1" customWidth="1"/>
    <col min="2" max="2" width="12.83203125" bestFit="1" customWidth="1"/>
    <col min="4" max="4" width="15" bestFit="1" customWidth="1"/>
    <col min="9" max="9" width="25.6640625" bestFit="1" customWidth="1"/>
  </cols>
  <sheetData>
    <row r="1" spans="1:10" x14ac:dyDescent="0.2">
      <c r="A1" t="s">
        <v>83</v>
      </c>
      <c r="B1" t="s">
        <v>84</v>
      </c>
      <c r="C1" t="s">
        <v>85</v>
      </c>
      <c r="D1" t="s">
        <v>86</v>
      </c>
      <c r="E1" t="s">
        <v>87</v>
      </c>
      <c r="I1" t="s">
        <v>95</v>
      </c>
    </row>
    <row r="3" spans="1:10" x14ac:dyDescent="0.2">
      <c r="A3" t="s">
        <v>88</v>
      </c>
      <c r="B3">
        <v>7683.77312128426</v>
      </c>
      <c r="C3">
        <v>2500</v>
      </c>
      <c r="D3">
        <v>1003.2670778949923</v>
      </c>
      <c r="E3">
        <f>B3+C3+D3</f>
        <v>11187.040199179251</v>
      </c>
      <c r="I3" t="s">
        <v>99</v>
      </c>
      <c r="J3">
        <v>72000</v>
      </c>
    </row>
    <row r="4" spans="1:10" x14ac:dyDescent="0.2">
      <c r="A4" t="s">
        <v>89</v>
      </c>
      <c r="B4">
        <v>27041.923710803705</v>
      </c>
      <c r="C4">
        <v>2500</v>
      </c>
      <c r="D4">
        <v>5081.6769484321476</v>
      </c>
      <c r="E4">
        <f t="shared" ref="E4:E8" si="0">B4+C4+D4</f>
        <v>34623.600659235854</v>
      </c>
      <c r="I4" t="s">
        <v>96</v>
      </c>
      <c r="J4">
        <v>5300</v>
      </c>
    </row>
    <row r="5" spans="1:10" x14ac:dyDescent="0.2">
      <c r="A5" t="s">
        <v>90</v>
      </c>
      <c r="B5">
        <v>5081.6769484321476</v>
      </c>
      <c r="C5">
        <v>2500</v>
      </c>
      <c r="D5">
        <v>1507.3509251051321</v>
      </c>
      <c r="E5">
        <f t="shared" si="0"/>
        <v>9089.0278735372794</v>
      </c>
      <c r="I5" t="s">
        <v>97</v>
      </c>
      <c r="J5">
        <v>2800</v>
      </c>
    </row>
    <row r="6" spans="1:10" x14ac:dyDescent="0.2">
      <c r="A6" t="s">
        <v>91</v>
      </c>
      <c r="B6">
        <v>902.64633296171894</v>
      </c>
      <c r="C6">
        <v>2500</v>
      </c>
      <c r="D6">
        <v>500.81676947374808</v>
      </c>
      <c r="E6">
        <f t="shared" si="0"/>
        <v>3903.4631024354671</v>
      </c>
      <c r="I6" t="s">
        <v>98</v>
      </c>
      <c r="J6">
        <v>70000</v>
      </c>
    </row>
    <row r="7" spans="1:10" x14ac:dyDescent="0.2">
      <c r="A7" t="s">
        <v>92</v>
      </c>
      <c r="B7">
        <v>701.60086815374348</v>
      </c>
      <c r="C7">
        <v>2500</v>
      </c>
      <c r="D7">
        <v>400.52273244628134</v>
      </c>
      <c r="E7">
        <f t="shared" si="0"/>
        <v>3602.1236006000245</v>
      </c>
    </row>
    <row r="8" spans="1:10" x14ac:dyDescent="0.2">
      <c r="A8" t="s">
        <v>93</v>
      </c>
      <c r="B8">
        <v>5081.6769484321476</v>
      </c>
      <c r="C8">
        <v>2500</v>
      </c>
      <c r="D8">
        <v>2013.0683115799695</v>
      </c>
      <c r="E8">
        <f t="shared" si="0"/>
        <v>9594.7452600121178</v>
      </c>
    </row>
    <row r="9" spans="1:10" x14ac:dyDescent="0.2">
      <c r="D9" t="s">
        <v>94</v>
      </c>
      <c r="E9">
        <f>SUM(E3:E8)</f>
        <v>72000.000694999995</v>
      </c>
    </row>
  </sheetData>
  <scenarios current="0">
    <scenario name="Solver" count="12" user="Microsoft Office User" comment="Created by Microsoft Office User on 3/29/2021">
      <inputCells r="D3" val="1000"/>
      <inputCells r="D4" val="5000"/>
      <inputCells r="D5" val="1500"/>
      <inputCells r="D6" val="500"/>
      <inputCells r="D7" val="400"/>
      <inputCells r="D8" val="2000"/>
      <inputCells r="B3" val="7500"/>
      <inputCells r="B4" val="25000"/>
      <inputCells r="B5" val="5000"/>
      <inputCells r="B6" val="900"/>
      <inputCells r="B7" val="700"/>
      <inputCells r="B8" val="5000"/>
    </scenario>
  </scenario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1266-6FC8-0C46-9C0E-45FFCE34633F}">
  <sheetPr codeName="Sheet2"/>
  <dimension ref="A1:B4"/>
  <sheetViews>
    <sheetView workbookViewId="0">
      <selection activeCell="B4" sqref="B4"/>
    </sheetView>
  </sheetViews>
  <sheetFormatPr baseColWidth="10" defaultRowHeight="16" x14ac:dyDescent="0.2"/>
  <cols>
    <col min="1" max="1" width="31.1640625" customWidth="1"/>
    <col min="2" max="2" width="14.1640625" bestFit="1" customWidth="1"/>
  </cols>
  <sheetData>
    <row r="1" spans="1:2" x14ac:dyDescent="0.2">
      <c r="A1" t="s">
        <v>45</v>
      </c>
      <c r="B1" s="1">
        <v>0.05</v>
      </c>
    </row>
    <row r="2" spans="1:2" x14ac:dyDescent="0.2">
      <c r="A2" t="s">
        <v>46</v>
      </c>
      <c r="B2">
        <v>60</v>
      </c>
    </row>
    <row r="3" spans="1:2" x14ac:dyDescent="0.2">
      <c r="A3" t="s">
        <v>47</v>
      </c>
      <c r="B3" s="2">
        <v>423925.65059141838</v>
      </c>
    </row>
    <row r="4" spans="1:2" x14ac:dyDescent="0.2">
      <c r="A4" t="s">
        <v>48</v>
      </c>
      <c r="B4" s="3">
        <f>PMT(B1/12,B2,B3)</f>
        <v>-7999.9999999999991</v>
      </c>
    </row>
  </sheetData>
  <scenarios current="0" sqref="B4">
    <scenario name="Rata marita" locked="1" count="1" user="Microsoft Office User" comment="Created by Microsoft Office User on 29/03/2021">
      <inputCells r="B1" val="0,08" numFmtId="9"/>
    </scenario>
  </scenario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A7290-B920-E140-82E2-FC2BCEDF9D8A}">
  <sheetPr codeName="Sheet3"/>
  <dimension ref="A1:H7"/>
  <sheetViews>
    <sheetView workbookViewId="0">
      <selection activeCell="H3" sqref="H3"/>
    </sheetView>
  </sheetViews>
  <sheetFormatPr baseColWidth="10" defaultRowHeight="16" x14ac:dyDescent="0.2"/>
  <cols>
    <col min="2" max="2" width="15" bestFit="1" customWidth="1"/>
    <col min="8" max="8" width="15" bestFit="1" customWidth="1"/>
  </cols>
  <sheetData>
    <row r="1" spans="1:8" x14ac:dyDescent="0.2">
      <c r="A1" t="s">
        <v>54</v>
      </c>
      <c r="E1" t="s">
        <v>52</v>
      </c>
    </row>
    <row r="2" spans="1:8" x14ac:dyDescent="0.2">
      <c r="A2" t="s">
        <v>49</v>
      </c>
      <c r="B2" t="s">
        <v>50</v>
      </c>
      <c r="C2" t="s">
        <v>51</v>
      </c>
      <c r="E2" t="s">
        <v>53</v>
      </c>
      <c r="F2" t="s">
        <v>50</v>
      </c>
      <c r="G2" t="s">
        <v>55</v>
      </c>
      <c r="H2" t="s">
        <v>56</v>
      </c>
    </row>
    <row r="3" spans="1:8" x14ac:dyDescent="0.2">
      <c r="A3">
        <v>1542</v>
      </c>
      <c r="B3" t="s">
        <v>66</v>
      </c>
      <c r="C3">
        <v>250</v>
      </c>
      <c r="E3">
        <v>5433</v>
      </c>
      <c r="F3" t="s">
        <v>61</v>
      </c>
      <c r="G3">
        <v>1542</v>
      </c>
      <c r="H3" t="str">
        <f>VLOOKUP(G3,A2:C7,2,0)</f>
        <v>Servicii cloud</v>
      </c>
    </row>
    <row r="4" spans="1:8" x14ac:dyDescent="0.2">
      <c r="A4">
        <v>1541</v>
      </c>
      <c r="B4" t="s">
        <v>57</v>
      </c>
      <c r="C4">
        <v>100</v>
      </c>
      <c r="E4">
        <v>7771</v>
      </c>
      <c r="F4" t="s">
        <v>62</v>
      </c>
      <c r="G4">
        <v>1541</v>
      </c>
      <c r="H4" t="str">
        <f t="shared" ref="H4:H7" si="0">VLOOKUP(G4,A3:C8,2,0)</f>
        <v>Servicii email</v>
      </c>
    </row>
    <row r="5" spans="1:8" x14ac:dyDescent="0.2">
      <c r="A5">
        <v>1921</v>
      </c>
      <c r="B5" t="s">
        <v>58</v>
      </c>
      <c r="C5">
        <v>90</v>
      </c>
      <c r="E5">
        <v>2343</v>
      </c>
      <c r="F5" t="s">
        <v>63</v>
      </c>
      <c r="G5">
        <v>1921</v>
      </c>
      <c r="H5" t="str">
        <f t="shared" si="0"/>
        <v>Servicii livrare</v>
      </c>
    </row>
    <row r="6" spans="1:8" x14ac:dyDescent="0.2">
      <c r="A6">
        <v>1133</v>
      </c>
      <c r="B6" t="s">
        <v>59</v>
      </c>
      <c r="C6">
        <v>400</v>
      </c>
      <c r="E6">
        <v>7542</v>
      </c>
      <c r="F6" t="s">
        <v>64</v>
      </c>
      <c r="G6">
        <v>1133</v>
      </c>
      <c r="H6" t="str">
        <f t="shared" si="0"/>
        <v>Servicii server</v>
      </c>
    </row>
    <row r="7" spans="1:8" x14ac:dyDescent="0.2">
      <c r="A7">
        <v>1233</v>
      </c>
      <c r="B7" t="s">
        <v>60</v>
      </c>
      <c r="C7">
        <v>600</v>
      </c>
      <c r="E7">
        <v>1211</v>
      </c>
      <c r="F7" t="s">
        <v>65</v>
      </c>
      <c r="G7">
        <v>1233</v>
      </c>
      <c r="H7" t="str">
        <f t="shared" si="0"/>
        <v>Servicii medicale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Angajati</vt:lpstr>
      <vt:lpstr>Pivot Table</vt:lpstr>
      <vt:lpstr>Scenario Summary</vt:lpstr>
      <vt:lpstr>Sheet3</vt:lpstr>
      <vt:lpstr>Functii financiare</vt:lpstr>
      <vt:lpstr>Servicii Furnizori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2021-03-28T20:52:03Z</dcterms:created>
  <dcterms:modified xsi:type="dcterms:W3CDTF">2021-03-28T22:50:47Z</dcterms:modified>
</cp:coreProperties>
</file>